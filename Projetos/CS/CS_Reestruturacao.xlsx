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estruturação" sheetId="1" state="visible" r:id="rId3"/>
    <sheet name="Folha &amp; Custo" sheetId="2" state="visible" r:id="rId4"/>
    <sheet name="Modelo de Escala" sheetId="3" state="visible" r:id="rId5"/>
    <sheet name="Churn Junh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<sst xmlns="http://schemas.openxmlformats.org/spreadsheetml/2006/main" count="249" uniqueCount="174">
  <si>
    <t xml:space="preserve">Reestruturação do CS — Pessoas e Salários</t>
  </si>
  <si>
    <t xml:space="preserve">Bandas: Conteúdo J3/P4/S5 · Gerente J4/P5/S6 · Treinador J4/P5/S6 · Reembolso 4-6k (+KPI 5-8k). Editável.</t>
  </si>
  <si>
    <t xml:space="preserve">Colaborador</t>
  </si>
  <si>
    <t xml:space="preserve">Área Atual</t>
  </si>
  <si>
    <t xml:space="preserve">Cargo</t>
  </si>
  <si>
    <t xml:space="preserve">Sal. Atual</t>
  </si>
  <si>
    <t xml:space="preserve">Decisão</t>
  </si>
  <si>
    <t xml:space="preserve">Área Proposta</t>
  </si>
  <si>
    <t xml:space="preserve">Sal. Proposto</t>
  </si>
  <si>
    <t xml:space="preserve">Anthony</t>
  </si>
  <si>
    <t xml:space="preserve">Conteúdo</t>
  </si>
  <si>
    <t xml:space="preserve">Sênior</t>
  </si>
  <si>
    <t xml:space="preserve">Manter → estratégia/análise + conteúdo p/ venda e LinkedIn</t>
  </si>
  <si>
    <t xml:space="preserve">Estratégia &amp; Conteúdo</t>
  </si>
  <si>
    <t xml:space="preserve">Maria Laura</t>
  </si>
  <si>
    <t xml:space="preserve">Pleno</t>
  </si>
  <si>
    <t xml:space="preserve">Manter → documentos/apresentações + análise</t>
  </si>
  <si>
    <t xml:space="preserve">Nicolas</t>
  </si>
  <si>
    <t xml:space="preserve">Supervisão</t>
  </si>
  <si>
    <t xml:space="preserve">Supervisor</t>
  </si>
  <si>
    <t xml:space="preserve">Braço direito (NÃO líder) → estratégia e playbooks</t>
  </si>
  <si>
    <t xml:space="preserve">Leonardo (conteúdo)</t>
  </si>
  <si>
    <t xml:space="preserve">Júnior</t>
  </si>
  <si>
    <t xml:space="preserve">Desligar (redução de roteiro)</t>
  </si>
  <si>
    <t xml:space="preserve">—</t>
  </si>
  <si>
    <t xml:space="preserve">Vinicius</t>
  </si>
  <si>
    <t xml:space="preserve">Produto</t>
  </si>
  <si>
    <t xml:space="preserve">Manter — fora do onboarding operacional</t>
  </si>
  <si>
    <t xml:space="preserve">Leonardo (produto)</t>
  </si>
  <si>
    <t xml:space="preserve">Manter</t>
  </si>
  <si>
    <t xml:space="preserve">Nova vaga — Produto</t>
  </si>
  <si>
    <t xml:space="preserve">Contratar (aliviar reuniões; esteira/funil)</t>
  </si>
  <si>
    <t xml:space="preserve">Clara</t>
  </si>
  <si>
    <t xml:space="preserve">Realocar → conduz o onboarding estruturado</t>
  </si>
  <si>
    <t xml:space="preserve">Onboarding</t>
  </si>
  <si>
    <t xml:space="preserve">Thiago (TI)</t>
  </si>
  <si>
    <t xml:space="preserve">TI</t>
  </si>
  <si>
    <t xml:space="preserve">Transferir p/ CS (dados/CRM) — sem nova contratação</t>
  </si>
  <si>
    <t xml:space="preserve">Onboarding / Dados</t>
  </si>
  <si>
    <t xml:space="preserve">Ana Laura</t>
  </si>
  <si>
    <t xml:space="preserve">Gerentes</t>
  </si>
  <si>
    <t xml:space="preserve">Manter → carteira de Projetos</t>
  </si>
  <si>
    <t xml:space="preserve">Tatiana</t>
  </si>
  <si>
    <t xml:space="preserve">Manter (desenvolver)</t>
  </si>
  <si>
    <t xml:space="preserve">Nova gerente 1</t>
  </si>
  <si>
    <t xml:space="preserve">Contratar (perfil desenrolado)</t>
  </si>
  <si>
    <t xml:space="preserve">Nova gerente 2</t>
  </si>
  <si>
    <t xml:space="preserve">Nova gerente 3</t>
  </si>
  <si>
    <t xml:space="preserve">Brenda</t>
  </si>
  <si>
    <t xml:space="preserve">Promover → Gerente de Acompanhamento</t>
  </si>
  <si>
    <t xml:space="preserve">Acompanhamento</t>
  </si>
  <si>
    <t xml:space="preserve">Treinador 1 (existente)</t>
  </si>
  <si>
    <t xml:space="preserve">Treinamento</t>
  </si>
  <si>
    <t xml:space="preserve">Manter — segue os processos/SOP</t>
  </si>
  <si>
    <t xml:space="preserve">Treinador 2 (existente)</t>
  </si>
  <si>
    <t xml:space="preserve">Treinador 3 (novo)</t>
  </si>
  <si>
    <t xml:space="preserve">Contratar de imediato</t>
  </si>
  <si>
    <t xml:space="preserve">Treinador 4 (contingência)</t>
  </si>
  <si>
    <t xml:space="preserve">Só se 1 dos novos não vingar</t>
  </si>
  <si>
    <t xml:space="preserve">Laila</t>
  </si>
  <si>
    <t xml:space="preserve">Auditoria</t>
  </si>
  <si>
    <t xml:space="preserve">Manter → auditoria/contratos/NPS</t>
  </si>
  <si>
    <t xml:space="preserve">Auditoria (independente)</t>
  </si>
  <si>
    <t xml:space="preserve">Sr. Antônio</t>
  </si>
  <si>
    <t xml:space="preserve">Realocar → Auditoria: processos/SOP</t>
  </si>
  <si>
    <t xml:space="preserve">Reembolso 1 (novo)</t>
  </si>
  <si>
    <t xml:space="preserve">Contratar — perfil win-back/telemarketing/cobrança</t>
  </si>
  <si>
    <t xml:space="preserve">Reembolso (neutro)</t>
  </si>
  <si>
    <t xml:space="preserve">Reembolso 2 (novo)</t>
  </si>
  <si>
    <t xml:space="preserve">Jennifer</t>
  </si>
  <si>
    <t xml:space="preserve">Saída voluntária (até 10/06)</t>
  </si>
  <si>
    <t xml:space="preserve">Carol</t>
  </si>
  <si>
    <t xml:space="preserve">Saída voluntária</t>
  </si>
  <si>
    <t xml:space="preserve">Flávia</t>
  </si>
  <si>
    <t xml:space="preserve">TOTAIS</t>
  </si>
  <si>
    <t xml:space="preserve">Legenda:</t>
  </si>
  <si>
    <t xml:space="preserve">Realocar</t>
  </si>
  <si>
    <t xml:space="preserve">Contratar</t>
  </si>
  <si>
    <t xml:space="preserve">Promover</t>
  </si>
  <si>
    <t xml:space="preserve">Desligar/Saída</t>
  </si>
  <si>
    <t xml:space="preserve">Opcional/Transferência</t>
  </si>
  <si>
    <t xml:space="preserve">Folha do CS — Atual vs. Proposto</t>
  </si>
  <si>
    <t xml:space="preserve">Inclui o novo Setor de Reembolso (neutro). Todo incremento vai p/ linha de frente e rollout.</t>
  </si>
  <si>
    <t xml:space="preserve">Área</t>
  </si>
  <si>
    <t xml:space="preserve">Folha Atual</t>
  </si>
  <si>
    <t xml:space="preserve">Folha Proposta</t>
  </si>
  <si>
    <t xml:space="preserve">Δ (R$)</t>
  </si>
  <si>
    <t xml:space="preserve">Acompanhamento (Brenda)</t>
  </si>
  <si>
    <t xml:space="preserve">Treinamento (2 atuais + 2 novos)</t>
  </si>
  <si>
    <t xml:space="preserve">Reembolso (neutro, novo)</t>
  </si>
  <si>
    <t xml:space="preserve">Desligados / Saídas</t>
  </si>
  <si>
    <t xml:space="preserve">TOTAL</t>
  </si>
  <si>
    <t xml:space="preserve">Custo real por cliente (contrato 12 meses, sem recorrência)</t>
  </si>
  <si>
    <t xml:space="preserve">Base de clientes ativos (hoje)</t>
  </si>
  <si>
    <t xml:space="preserve">Ticket médio do contrato 12m (R$) — PREENCHER</t>
  </si>
  <si>
    <t xml:space="preserve">Folha CS/mês</t>
  </si>
  <si>
    <t xml:space="preserve">Custo CS por cliente / mês</t>
  </si>
  <si>
    <t xml:space="preserve">Custo CS por cliente nos 12 meses</t>
  </si>
  <si>
    <t xml:space="preserve">% do contrato consumido pelo CS</t>
  </si>
  <si>
    <t xml:space="preserve">Células amarelas = você edita. Ticket é a variável que faz o custo fazer sentido.</t>
  </si>
  <si>
    <t xml:space="preserve">A alavanca: manter a folha ~estável enquanto a base cresce</t>
  </si>
  <si>
    <t xml:space="preserve">Cenário</t>
  </si>
  <si>
    <t xml:space="preserve">Base</t>
  </si>
  <si>
    <t xml:space="preserve">Custo CS/cliente/mês</t>
  </si>
  <si>
    <t xml:space="preserve">Hoje</t>
  </si>
  <si>
    <t xml:space="preserve">Base cresce</t>
  </si>
  <si>
    <t xml:space="preserve">Escala c/ IA (folha estável)</t>
  </si>
  <si>
    <t xml:space="preserve">Com IA/automação, 600 contas com a MESMA folha derruba o custo/cliente — sem inflar o time.</t>
  </si>
  <si>
    <t xml:space="preserve">Remuneração variável (KPI individual) — rever o gatilho</t>
  </si>
  <si>
    <t xml:space="preserve">Nível</t>
  </si>
  <si>
    <t xml:space="preserve">Teto variável</t>
  </si>
  <si>
    <t xml:space="preserve">Incentivo CERTO (proposta)</t>
  </si>
  <si>
    <t xml:space="preserve">Retenção + onboarding no prazo + NPS</t>
  </si>
  <si>
    <t xml:space="preserve">Retenção + reversão de cancelamento + saúde do cliente</t>
  </si>
  <si>
    <t xml:space="preserve">Retenção + expansão/venda de novos produtos + NPS da equipe</t>
  </si>
  <si>
    <t xml:space="preserve">Reembolso</t>
  </si>
  <si>
    <t xml:space="preserve">% de reembolsos revertidos (reconversão)</t>
  </si>
  <si>
    <t xml:space="preserve">Variável (KPI): Júnior +1k, Pleno +2k, Sênior +3k sobre o fixo — pode ser mais. Premie RETENÇÃO e reversão, não volume.</t>
  </si>
  <si>
    <t xml:space="preserve">Como escalar sem inflar o time</t>
  </si>
  <si>
    <t xml:space="preserve">Segmentar o atendimento por camada e deixar a IA absorver o repetitivo.</t>
  </si>
  <si>
    <t xml:space="preserve">Camada</t>
  </si>
  <si>
    <t xml:space="preserve">Perfil da conta</t>
  </si>
  <si>
    <t xml:space="preserve">Contas por gerente</t>
  </si>
  <si>
    <t xml:space="preserve">Como é atendida</t>
  </si>
  <si>
    <t xml:space="preserve">Alto toque</t>
  </si>
  <si>
    <t xml:space="preserve">Em risco / pagador parcelado / alto valor</t>
  </si>
  <si>
    <t xml:space="preserve">40–50</t>
  </si>
  <si>
    <t xml:space="preserve">Gerente dedicada, contato humano frequente</t>
  </si>
  <si>
    <t xml:space="preserve">Médio toque</t>
  </si>
  <si>
    <t xml:space="preserve">Saudável, em evolução</t>
  </si>
  <si>
    <t xml:space="preserve">80–120</t>
  </si>
  <si>
    <t xml:space="preserve">Gerente + IA (rascunhos, resumos, alertas)</t>
  </si>
  <si>
    <t xml:space="preserve">Tech-touch</t>
  </si>
  <si>
    <t xml:space="preserve">Estável e satisfeita</t>
  </si>
  <si>
    <t xml:space="preserve">Automatizado</t>
  </si>
  <si>
    <t xml:space="preserve">Check-ins e conteúdo por IA; gerente na exceção</t>
  </si>
  <si>
    <t xml:space="preserve">Rampa do índice contas/gerente (alvo)</t>
  </si>
  <si>
    <t xml:space="preserve">Momento</t>
  </si>
  <si>
    <t xml:space="preserve">Contas/gerente</t>
  </si>
  <si>
    <t xml:space="preserve">Gerentes p/ 600 contas</t>
  </si>
  <si>
    <t xml:space="preserve">Hoje (estabilizar a crise)</t>
  </si>
  <si>
    <t xml:space="preserve">~50</t>
  </si>
  <si>
    <t xml:space="preserve">~12</t>
  </si>
  <si>
    <t xml:space="preserve">6 meses (playbooks + IA)</t>
  </si>
  <si>
    <t xml:space="preserve">~80</t>
  </si>
  <si>
    <t xml:space="preserve">~7–8</t>
  </si>
  <si>
    <t xml:space="preserve">12 meses (automação madura)</t>
  </si>
  <si>
    <t xml:space="preserve">120–140</t>
  </si>
  <si>
    <t xml:space="preserve">~5–6</t>
  </si>
  <si>
    <t xml:space="preserve">A meta não é '1 gerente por 50 contas para sempre' — é o índice subir com tecnologia.</t>
  </si>
  <si>
    <t xml:space="preserve">Churn — Junho (37 cancelamentos)</t>
  </si>
  <si>
    <t xml:space="preserve">Contratos de ~360 dias (alguns 180). 'Dias' = tempo DENTRO do contrato até o cancelamento.</t>
  </si>
  <si>
    <t xml:space="preserve">Janela do contrato</t>
  </si>
  <si>
    <t xml:space="preserve">Churns</t>
  </si>
  <si>
    <t xml:space="preserve">% do total</t>
  </si>
  <si>
    <t xml:space="preserve">O que significa</t>
  </si>
  <si>
    <t xml:space="preserve">Dentro de 7 dias</t>
  </si>
  <si>
    <t xml:space="preserve">Garantia legal / reembolso — reversão rápida</t>
  </si>
  <si>
    <t xml:space="preserve">Dentro de 30 dias</t>
  </si>
  <si>
    <t xml:space="preserve">Onboarding falhou — maior alavanca</t>
  </si>
  <si>
    <t xml:space="preserve">Dentro de 90 dias</t>
  </si>
  <si>
    <t xml:space="preserve">Zona crítica: 73% de todo o churn</t>
  </si>
  <si>
    <t xml:space="preserve">Após 90 dias</t>
  </si>
  <si>
    <t xml:space="preserve">Cauda: acompanhamento afrouxou</t>
  </si>
  <si>
    <t xml:space="preserve">Distribuição por tempo de contrato</t>
  </si>
  <si>
    <t xml:space="preserve">Faixa</t>
  </si>
  <si>
    <t xml:space="preserve">Clientes</t>
  </si>
  <si>
    <t xml:space="preserve">0-7 dias</t>
  </si>
  <si>
    <t xml:space="preserve">8-15 dias</t>
  </si>
  <si>
    <t xml:space="preserve">16-30 dias</t>
  </si>
  <si>
    <t xml:space="preserve">31-60 dias</t>
  </si>
  <si>
    <t xml:space="preserve">61-90 dias</t>
  </si>
  <si>
    <t xml:space="preserve">91+ dias</t>
  </si>
  <si>
    <t xml:space="preserve">Prioridade: pagador parcelado insatisfeito = risco de processo + reembolso integral. Cuidar primeiro.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</si>
</sst>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"/>
    <numFmt numFmtId="166" formatCode="0"/>
    <numFmt numFmtId="167" formatCode="0.0%"/>
    <numFmt numFmtId="168" formatCode="&quot;R$ 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CE9D0"/>
        <bgColor rgb="FFFFF2CC"/>
      </patternFill>
    </fill>
    <fill>
      <patternFill patternType="solid">
        <fgColor rgb="FFFBE4E4"/>
        <bgColor rgb="FFFCE9D0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4DFEC"/>
        <bgColor rgb="FFD9D9D9"/>
      </patternFill>
    </fill>
    <fill>
      <patternFill patternType="solid">
        <fgColor rgb="FFFFF2CC"/>
        <bgColor rgb="FFFCE9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E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9D0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44"/>
    <col collapsed="false" customWidth="true" hidden="false" outlineLevel="0" max="6" min="6" style="1" width="26"/>
    <col collapsed="false" customWidth="true" hidden="false" outlineLevel="0" max="7" min="7" style="1" width="1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6.25" hidden="false" customHeight="true" outlineLevel="0" collapsed="false">
      <c r="A5" s="5" t="s">
        <v>9</v>
      </c>
      <c r="B5" s="6" t="s">
        <v>10</v>
      </c>
      <c r="C5" s="6" t="s">
        <v>11</v>
      </c>
      <c r="D5" s="7" t="n">
        <v>5000</v>
      </c>
      <c r="E5" s="5" t="s">
        <v>12</v>
      </c>
      <c r="F5" s="6" t="s">
        <v>13</v>
      </c>
      <c r="G5" s="7" t="n">
        <v>5000</v>
      </c>
    </row>
    <row r="6" customFormat="false" ht="26.25" hidden="false" customHeight="true" outlineLevel="0" collapsed="false">
      <c r="A6" s="5" t="s">
        <v>14</v>
      </c>
      <c r="B6" s="6" t="s">
        <v>10</v>
      </c>
      <c r="C6" s="6" t="s">
        <v>15</v>
      </c>
      <c r="D6" s="7" t="n">
        <v>3500</v>
      </c>
      <c r="E6" s="5" t="s">
        <v>16</v>
      </c>
      <c r="F6" s="6" t="s">
        <v>13</v>
      </c>
      <c r="G6" s="7" t="n">
        <v>4000</v>
      </c>
    </row>
    <row r="7" customFormat="false" ht="26.25" hidden="false" customHeight="true" outlineLevel="0" collapsed="false">
      <c r="A7" s="8" t="s">
        <v>17</v>
      </c>
      <c r="B7" s="9" t="s">
        <v>18</v>
      </c>
      <c r="C7" s="9" t="s">
        <v>19</v>
      </c>
      <c r="D7" s="10" t="n">
        <v>8000</v>
      </c>
      <c r="E7" s="8" t="s">
        <v>20</v>
      </c>
      <c r="F7" s="9" t="s">
        <v>13</v>
      </c>
      <c r="G7" s="10" t="n">
        <v>8000</v>
      </c>
    </row>
    <row r="8" customFormat="false" ht="15" hidden="false" customHeight="true" outlineLevel="0" collapsed="false">
      <c r="A8" s="11" t="s">
        <v>21</v>
      </c>
      <c r="B8" s="12" t="s">
        <v>10</v>
      </c>
      <c r="C8" s="12" t="s">
        <v>22</v>
      </c>
      <c r="D8" s="13" t="n">
        <v>3000</v>
      </c>
      <c r="E8" s="11" t="s">
        <v>23</v>
      </c>
      <c r="F8" s="12" t="s">
        <v>24</v>
      </c>
      <c r="G8" s="13" t="n">
        <v>0</v>
      </c>
    </row>
    <row r="9" customFormat="false" ht="15" hidden="false" customHeight="true" outlineLevel="0" collapsed="false">
      <c r="A9" s="5" t="s">
        <v>25</v>
      </c>
      <c r="B9" s="6" t="s">
        <v>26</v>
      </c>
      <c r="C9" s="6" t="s">
        <v>11</v>
      </c>
      <c r="D9" s="7" t="n">
        <v>7000</v>
      </c>
      <c r="E9" s="5" t="s">
        <v>27</v>
      </c>
      <c r="F9" s="6" t="s">
        <v>26</v>
      </c>
      <c r="G9" s="7" t="n">
        <v>7000</v>
      </c>
    </row>
    <row r="10" customFormat="false" ht="15" hidden="false" customHeight="true" outlineLevel="0" collapsed="false">
      <c r="A10" s="5" t="s">
        <v>28</v>
      </c>
      <c r="B10" s="6" t="s">
        <v>26</v>
      </c>
      <c r="C10" s="6" t="s">
        <v>15</v>
      </c>
      <c r="D10" s="7" t="n">
        <v>5000</v>
      </c>
      <c r="E10" s="5" t="s">
        <v>29</v>
      </c>
      <c r="F10" s="6" t="s">
        <v>26</v>
      </c>
      <c r="G10" s="7" t="n">
        <v>5000</v>
      </c>
    </row>
    <row r="11" customFormat="false" ht="15" hidden="false" customHeight="true" outlineLevel="0" collapsed="false">
      <c r="A11" s="14" t="s">
        <v>30</v>
      </c>
      <c r="B11" s="15" t="s">
        <v>24</v>
      </c>
      <c r="C11" s="15" t="s">
        <v>15</v>
      </c>
      <c r="D11" s="16" t="n">
        <v>0</v>
      </c>
      <c r="E11" s="14" t="s">
        <v>31</v>
      </c>
      <c r="F11" s="15" t="s">
        <v>26</v>
      </c>
      <c r="G11" s="16" t="n">
        <v>5000</v>
      </c>
    </row>
    <row r="12" customFormat="false" ht="15" hidden="false" customHeight="true" outlineLevel="0" collapsed="false">
      <c r="A12" s="8" t="s">
        <v>32</v>
      </c>
      <c r="B12" s="9" t="s">
        <v>10</v>
      </c>
      <c r="C12" s="9" t="s">
        <v>22</v>
      </c>
      <c r="D12" s="10" t="n">
        <v>3000</v>
      </c>
      <c r="E12" s="8" t="s">
        <v>33</v>
      </c>
      <c r="F12" s="9" t="s">
        <v>34</v>
      </c>
      <c r="G12" s="10" t="n">
        <v>3000</v>
      </c>
    </row>
    <row r="13" customFormat="false" ht="26.25" hidden="false" customHeight="true" outlineLevel="0" collapsed="false">
      <c r="A13" s="17" t="s">
        <v>35</v>
      </c>
      <c r="B13" s="18" t="s">
        <v>36</v>
      </c>
      <c r="C13" s="18" t="s">
        <v>24</v>
      </c>
      <c r="D13" s="19" t="n">
        <v>0</v>
      </c>
      <c r="E13" s="17" t="s">
        <v>37</v>
      </c>
      <c r="F13" s="18" t="s">
        <v>38</v>
      </c>
      <c r="G13" s="19" t="n">
        <v>0</v>
      </c>
    </row>
    <row r="14" customFormat="false" ht="15" hidden="false" customHeight="true" outlineLevel="0" collapsed="false">
      <c r="A14" s="5" t="s">
        <v>39</v>
      </c>
      <c r="B14" s="6" t="s">
        <v>40</v>
      </c>
      <c r="C14" s="6" t="s">
        <v>22</v>
      </c>
      <c r="D14" s="7" t="n">
        <v>3500</v>
      </c>
      <c r="E14" s="5" t="s">
        <v>41</v>
      </c>
      <c r="F14" s="6" t="s">
        <v>40</v>
      </c>
      <c r="G14" s="7" t="n">
        <v>4000</v>
      </c>
    </row>
    <row r="15" customFormat="false" ht="15" hidden="false" customHeight="true" outlineLevel="0" collapsed="false">
      <c r="A15" s="5" t="s">
        <v>42</v>
      </c>
      <c r="B15" s="6" t="s">
        <v>40</v>
      </c>
      <c r="C15" s="6" t="s">
        <v>22</v>
      </c>
      <c r="D15" s="7" t="n">
        <v>3500</v>
      </c>
      <c r="E15" s="5" t="s">
        <v>43</v>
      </c>
      <c r="F15" s="6" t="s">
        <v>40</v>
      </c>
      <c r="G15" s="7" t="n">
        <v>4000</v>
      </c>
    </row>
    <row r="16" customFormat="false" ht="15" hidden="false" customHeight="true" outlineLevel="0" collapsed="false">
      <c r="A16" s="14" t="s">
        <v>44</v>
      </c>
      <c r="B16" s="15" t="s">
        <v>24</v>
      </c>
      <c r="C16" s="15" t="s">
        <v>22</v>
      </c>
      <c r="D16" s="16" t="n">
        <v>0</v>
      </c>
      <c r="E16" s="14" t="s">
        <v>45</v>
      </c>
      <c r="F16" s="15" t="s">
        <v>40</v>
      </c>
      <c r="G16" s="16" t="n">
        <v>4000</v>
      </c>
    </row>
    <row r="17" customFormat="false" ht="15" hidden="false" customHeight="true" outlineLevel="0" collapsed="false">
      <c r="A17" s="14" t="s">
        <v>46</v>
      </c>
      <c r="B17" s="15" t="s">
        <v>24</v>
      </c>
      <c r="C17" s="15" t="s">
        <v>22</v>
      </c>
      <c r="D17" s="16" t="n">
        <v>0</v>
      </c>
      <c r="E17" s="14" t="s">
        <v>45</v>
      </c>
      <c r="F17" s="15" t="s">
        <v>40</v>
      </c>
      <c r="G17" s="16" t="n">
        <v>4000</v>
      </c>
    </row>
    <row r="18" customFormat="false" ht="15" hidden="false" customHeight="true" outlineLevel="0" collapsed="false">
      <c r="A18" s="14" t="s">
        <v>47</v>
      </c>
      <c r="B18" s="15" t="s">
        <v>24</v>
      </c>
      <c r="C18" s="15" t="s">
        <v>22</v>
      </c>
      <c r="D18" s="16" t="n">
        <v>0</v>
      </c>
      <c r="E18" s="14" t="s">
        <v>45</v>
      </c>
      <c r="F18" s="15" t="s">
        <v>40</v>
      </c>
      <c r="G18" s="16" t="n">
        <v>4000</v>
      </c>
    </row>
    <row r="19" customFormat="false" ht="15" hidden="false" customHeight="true" outlineLevel="0" collapsed="false">
      <c r="A19" s="20" t="s">
        <v>48</v>
      </c>
      <c r="B19" s="21" t="s">
        <v>40</v>
      </c>
      <c r="C19" s="21" t="s">
        <v>15</v>
      </c>
      <c r="D19" s="22" t="n">
        <v>4500</v>
      </c>
      <c r="E19" s="20" t="s">
        <v>49</v>
      </c>
      <c r="F19" s="21" t="s">
        <v>50</v>
      </c>
      <c r="G19" s="22" t="n">
        <v>6000</v>
      </c>
    </row>
    <row r="20" customFormat="false" ht="15" hidden="false" customHeight="true" outlineLevel="0" collapsed="false">
      <c r="A20" s="5" t="s">
        <v>51</v>
      </c>
      <c r="B20" s="6" t="s">
        <v>52</v>
      </c>
      <c r="C20" s="6" t="s">
        <v>15</v>
      </c>
      <c r="D20" s="7" t="n">
        <v>5000</v>
      </c>
      <c r="E20" s="5" t="s">
        <v>53</v>
      </c>
      <c r="F20" s="6" t="s">
        <v>52</v>
      </c>
      <c r="G20" s="7" t="n">
        <v>5000</v>
      </c>
    </row>
    <row r="21" customFormat="false" ht="15" hidden="false" customHeight="true" outlineLevel="0" collapsed="false">
      <c r="A21" s="5" t="s">
        <v>54</v>
      </c>
      <c r="B21" s="6" t="s">
        <v>52</v>
      </c>
      <c r="C21" s="6" t="s">
        <v>15</v>
      </c>
      <c r="D21" s="7" t="n">
        <v>5000</v>
      </c>
      <c r="E21" s="5" t="s">
        <v>53</v>
      </c>
      <c r="F21" s="6" t="s">
        <v>52</v>
      </c>
      <c r="G21" s="7" t="n">
        <v>5000</v>
      </c>
    </row>
    <row r="22" customFormat="false" ht="15" hidden="false" customHeight="true" outlineLevel="0" collapsed="false">
      <c r="A22" s="14" t="s">
        <v>55</v>
      </c>
      <c r="B22" s="15" t="s">
        <v>24</v>
      </c>
      <c r="C22" s="15" t="s">
        <v>15</v>
      </c>
      <c r="D22" s="16" t="n">
        <v>0</v>
      </c>
      <c r="E22" s="14" t="s">
        <v>56</v>
      </c>
      <c r="F22" s="15" t="s">
        <v>52</v>
      </c>
      <c r="G22" s="16" t="n">
        <v>5000</v>
      </c>
    </row>
    <row r="23" customFormat="false" ht="26.25" hidden="false" customHeight="true" outlineLevel="0" collapsed="false">
      <c r="A23" s="17" t="s">
        <v>57</v>
      </c>
      <c r="B23" s="18" t="s">
        <v>24</v>
      </c>
      <c r="C23" s="18" t="s">
        <v>15</v>
      </c>
      <c r="D23" s="19" t="n">
        <v>0</v>
      </c>
      <c r="E23" s="17" t="s">
        <v>58</v>
      </c>
      <c r="F23" s="18" t="s">
        <v>52</v>
      </c>
      <c r="G23" s="19" t="n">
        <v>5000</v>
      </c>
    </row>
    <row r="24" customFormat="false" ht="15" hidden="false" customHeight="true" outlineLevel="0" collapsed="false">
      <c r="A24" s="5" t="s">
        <v>59</v>
      </c>
      <c r="B24" s="6" t="s">
        <v>60</v>
      </c>
      <c r="C24" s="6" t="s">
        <v>22</v>
      </c>
      <c r="D24" s="7" t="n">
        <v>3500</v>
      </c>
      <c r="E24" s="5" t="s">
        <v>61</v>
      </c>
      <c r="F24" s="6" t="s">
        <v>62</v>
      </c>
      <c r="G24" s="7" t="n">
        <v>3500</v>
      </c>
    </row>
    <row r="25" customFormat="false" ht="15" hidden="false" customHeight="true" outlineLevel="0" collapsed="false">
      <c r="A25" s="8" t="s">
        <v>63</v>
      </c>
      <c r="B25" s="9" t="s">
        <v>18</v>
      </c>
      <c r="C25" s="9" t="s">
        <v>19</v>
      </c>
      <c r="D25" s="10" t="n">
        <v>8000</v>
      </c>
      <c r="E25" s="8" t="s">
        <v>64</v>
      </c>
      <c r="F25" s="9" t="s">
        <v>62</v>
      </c>
      <c r="G25" s="10" t="n">
        <v>8000</v>
      </c>
    </row>
    <row r="26" customFormat="false" ht="26.25" hidden="false" customHeight="true" outlineLevel="0" collapsed="false">
      <c r="A26" s="14" t="s">
        <v>65</v>
      </c>
      <c r="B26" s="15" t="s">
        <v>24</v>
      </c>
      <c r="C26" s="15" t="s">
        <v>24</v>
      </c>
      <c r="D26" s="16" t="n">
        <v>0</v>
      </c>
      <c r="E26" s="14" t="s">
        <v>66</v>
      </c>
      <c r="F26" s="15" t="s">
        <v>67</v>
      </c>
      <c r="G26" s="16" t="n">
        <v>5000</v>
      </c>
    </row>
    <row r="27" customFormat="false" ht="26.25" hidden="false" customHeight="true" outlineLevel="0" collapsed="false">
      <c r="A27" s="14" t="s">
        <v>68</v>
      </c>
      <c r="B27" s="15" t="s">
        <v>24</v>
      </c>
      <c r="C27" s="15" t="s">
        <v>24</v>
      </c>
      <c r="D27" s="16" t="n">
        <v>0</v>
      </c>
      <c r="E27" s="14" t="s">
        <v>66</v>
      </c>
      <c r="F27" s="15" t="s">
        <v>67</v>
      </c>
      <c r="G27" s="16" t="n">
        <v>5000</v>
      </c>
    </row>
    <row r="28" customFormat="false" ht="15" hidden="false" customHeight="true" outlineLevel="0" collapsed="false">
      <c r="A28" s="11" t="s">
        <v>69</v>
      </c>
      <c r="B28" s="12" t="s">
        <v>40</v>
      </c>
      <c r="C28" s="12" t="s">
        <v>22</v>
      </c>
      <c r="D28" s="13" t="n">
        <v>3500</v>
      </c>
      <c r="E28" s="11" t="s">
        <v>70</v>
      </c>
      <c r="F28" s="12" t="s">
        <v>24</v>
      </c>
      <c r="G28" s="13" t="n">
        <v>0</v>
      </c>
    </row>
    <row r="29" customFormat="false" ht="15" hidden="false" customHeight="true" outlineLevel="0" collapsed="false">
      <c r="A29" s="11" t="s">
        <v>71</v>
      </c>
      <c r="B29" s="12" t="s">
        <v>40</v>
      </c>
      <c r="C29" s="12" t="s">
        <v>15</v>
      </c>
      <c r="D29" s="13" t="n">
        <v>4500</v>
      </c>
      <c r="E29" s="11" t="s">
        <v>72</v>
      </c>
      <c r="F29" s="12" t="s">
        <v>24</v>
      </c>
      <c r="G29" s="13" t="n">
        <v>0</v>
      </c>
    </row>
    <row r="30" customFormat="false" ht="15" hidden="false" customHeight="true" outlineLevel="0" collapsed="false">
      <c r="A30" s="11" t="s">
        <v>73</v>
      </c>
      <c r="B30" s="12" t="s">
        <v>40</v>
      </c>
      <c r="C30" s="12" t="s">
        <v>22</v>
      </c>
      <c r="D30" s="13" t="n">
        <v>3500</v>
      </c>
      <c r="E30" s="11" t="s">
        <v>72</v>
      </c>
      <c r="F30" s="12" t="s">
        <v>24</v>
      </c>
      <c r="G30" s="13" t="n">
        <v>0</v>
      </c>
    </row>
    <row r="31" customFormat="false" ht="15" hidden="false" customHeight="true" outlineLevel="0" collapsed="false">
      <c r="A31" s="23"/>
      <c r="B31" s="23"/>
      <c r="C31" s="24" t="s">
        <v>74</v>
      </c>
      <c r="D31" s="25" t="n">
        <f aca="false">SUM(D5:D30)</f>
        <v>79000</v>
      </c>
      <c r="E31" s="23"/>
      <c r="F31" s="23"/>
      <c r="G31" s="25" t="n">
        <f aca="false">SUM(G5:G30)</f>
        <v>104500</v>
      </c>
    </row>
    <row r="33" customFormat="false" ht="15" hidden="false" customHeight="true" outlineLevel="0" collapsed="false">
      <c r="A33" s="26" t="s">
        <v>75</v>
      </c>
    </row>
    <row r="34" customFormat="false" ht="15" hidden="false" customHeight="true" outlineLevel="0" collapsed="false">
      <c r="A34" s="6" t="s">
        <v>29</v>
      </c>
    </row>
    <row r="35" customFormat="false" ht="15" hidden="false" customHeight="true" outlineLevel="0" collapsed="false">
      <c r="A35" s="9" t="s">
        <v>76</v>
      </c>
    </row>
    <row r="36" customFormat="false" ht="15" hidden="false" customHeight="true" outlineLevel="0" collapsed="false">
      <c r="A36" s="15" t="s">
        <v>77</v>
      </c>
    </row>
    <row r="37" customFormat="false" ht="15" hidden="false" customHeight="true" outlineLevel="0" collapsed="false">
      <c r="A37" s="21" t="s">
        <v>78</v>
      </c>
    </row>
    <row r="38" customFormat="false" ht="15" hidden="false" customHeight="true" outlineLevel="0" collapsed="false">
      <c r="A38" s="12" t="s">
        <v>79</v>
      </c>
    </row>
    <row r="39" customFormat="false" ht="15" hidden="false" customHeight="true" outlineLevel="0" collapsed="false">
      <c r="A39" s="18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3"/>
  </cols>
  <sheetData>
    <row r="1" customFormat="false" ht="17.25" hidden="false" customHeight="true" outlineLevel="0" collapsed="false">
      <c r="A1" s="2" t="s">
        <v>81</v>
      </c>
    </row>
    <row r="2" customFormat="false" ht="15" hidden="false" customHeight="true" outlineLevel="0" collapsed="false">
      <c r="A2" s="3" t="s">
        <v>82</v>
      </c>
    </row>
    <row r="4" customFormat="false" ht="15" hidden="false" customHeight="true" outlineLevel="0" collapsed="false">
      <c r="A4" s="4" t="s">
        <v>83</v>
      </c>
      <c r="B4" s="4" t="s">
        <v>84</v>
      </c>
      <c r="C4" s="4" t="s">
        <v>85</v>
      </c>
      <c r="D4" s="4" t="s">
        <v>86</v>
      </c>
    </row>
    <row r="5" customFormat="false" ht="15" hidden="false" customHeight="true" outlineLevel="0" collapsed="false">
      <c r="A5" s="27" t="s">
        <v>13</v>
      </c>
      <c r="B5" s="28" t="n">
        <v>16500</v>
      </c>
      <c r="C5" s="28" t="n">
        <v>17000</v>
      </c>
      <c r="D5" s="28" t="n">
        <f aca="false">C5-B5</f>
        <v>500</v>
      </c>
    </row>
    <row r="6" customFormat="false" ht="15" hidden="false" customHeight="true" outlineLevel="0" collapsed="false">
      <c r="A6" s="27" t="s">
        <v>26</v>
      </c>
      <c r="B6" s="28" t="n">
        <v>12000</v>
      </c>
      <c r="C6" s="28" t="n">
        <v>17000</v>
      </c>
      <c r="D6" s="28" t="n">
        <f aca="false">C6-B6</f>
        <v>5000</v>
      </c>
    </row>
    <row r="7" customFormat="false" ht="15" hidden="false" customHeight="true" outlineLevel="0" collapsed="false">
      <c r="A7" s="27" t="s">
        <v>38</v>
      </c>
      <c r="B7" s="28" t="n">
        <v>3000</v>
      </c>
      <c r="C7" s="28" t="n">
        <v>3000</v>
      </c>
      <c r="D7" s="28" t="n">
        <f aca="false">C7-B7</f>
        <v>0</v>
      </c>
    </row>
    <row r="8" customFormat="false" ht="15" hidden="false" customHeight="true" outlineLevel="0" collapsed="false">
      <c r="A8" s="27" t="s">
        <v>40</v>
      </c>
      <c r="B8" s="28" t="n">
        <v>7000</v>
      </c>
      <c r="C8" s="28" t="n">
        <v>20000</v>
      </c>
      <c r="D8" s="28" t="n">
        <f aca="false">C8-B8</f>
        <v>13000</v>
      </c>
    </row>
    <row r="9" customFormat="false" ht="15" hidden="false" customHeight="true" outlineLevel="0" collapsed="false">
      <c r="A9" s="27" t="s">
        <v>87</v>
      </c>
      <c r="B9" s="28" t="n">
        <v>4500</v>
      </c>
      <c r="C9" s="28" t="n">
        <v>6000</v>
      </c>
      <c r="D9" s="28" t="n">
        <f aca="false">C9-B9</f>
        <v>1500</v>
      </c>
    </row>
    <row r="10" customFormat="false" ht="15" hidden="false" customHeight="true" outlineLevel="0" collapsed="false">
      <c r="A10" s="27" t="s">
        <v>88</v>
      </c>
      <c r="B10" s="28" t="n">
        <v>10000</v>
      </c>
      <c r="C10" s="28" t="n">
        <v>20000</v>
      </c>
      <c r="D10" s="28" t="n">
        <f aca="false">C10-B10</f>
        <v>10000</v>
      </c>
    </row>
    <row r="11" customFormat="false" ht="15" hidden="false" customHeight="true" outlineLevel="0" collapsed="false">
      <c r="A11" s="27" t="s">
        <v>62</v>
      </c>
      <c r="B11" s="28" t="n">
        <v>11500</v>
      </c>
      <c r="C11" s="28" t="n">
        <v>11500</v>
      </c>
      <c r="D11" s="28" t="n">
        <f aca="false">C11-B11</f>
        <v>0</v>
      </c>
    </row>
    <row r="12" customFormat="false" ht="15" hidden="false" customHeight="true" outlineLevel="0" collapsed="false">
      <c r="A12" s="27" t="s">
        <v>89</v>
      </c>
      <c r="B12" s="28" t="n">
        <v>0</v>
      </c>
      <c r="C12" s="28" t="n">
        <v>10000</v>
      </c>
      <c r="D12" s="28" t="n">
        <f aca="false">C12-B12</f>
        <v>10000</v>
      </c>
    </row>
    <row r="13" customFormat="false" ht="15" hidden="false" customHeight="true" outlineLevel="0" collapsed="false">
      <c r="A13" s="27" t="s">
        <v>90</v>
      </c>
      <c r="B13" s="28" t="n">
        <v>14500</v>
      </c>
      <c r="C13" s="28" t="n">
        <v>0</v>
      </c>
      <c r="D13" s="28" t="n">
        <f aca="false">C13-B13</f>
        <v>-14500</v>
      </c>
    </row>
    <row r="14" customFormat="false" ht="15" hidden="false" customHeight="true" outlineLevel="0" collapsed="false">
      <c r="A14" s="24" t="s">
        <v>91</v>
      </c>
      <c r="B14" s="25" t="n">
        <f aca="false">SUM(B5:B13)</f>
        <v>79000</v>
      </c>
      <c r="C14" s="25" t="n">
        <f aca="false">SUM(C5:C13)</f>
        <v>104500</v>
      </c>
      <c r="D14" s="25" t="n">
        <f aca="false">C14-B14</f>
        <v>25500</v>
      </c>
    </row>
    <row r="17" customFormat="false" ht="17.25" hidden="false" customHeight="true" outlineLevel="0" collapsed="false">
      <c r="A17" s="2" t="s">
        <v>92</v>
      </c>
    </row>
    <row r="18" customFormat="false" ht="15" hidden="false" customHeight="true" outlineLevel="0" collapsed="false">
      <c r="A18" s="27" t="s">
        <v>93</v>
      </c>
      <c r="B18" s="29" t="n">
        <v>250</v>
      </c>
    </row>
    <row r="19" customFormat="false" ht="15" hidden="false" customHeight="true" outlineLevel="0" collapsed="false">
      <c r="A19" s="27" t="s">
        <v>94</v>
      </c>
      <c r="B19" s="30" t="n">
        <v>12000</v>
      </c>
    </row>
    <row r="20" customFormat="false" ht="15" hidden="false" customHeight="true" outlineLevel="0" collapsed="false">
      <c r="A20" s="27" t="s">
        <v>95</v>
      </c>
      <c r="B20" s="31" t="n">
        <f aca="false">C14</f>
        <v>104500</v>
      </c>
    </row>
    <row r="21" customFormat="false" ht="15" hidden="false" customHeight="true" outlineLevel="0" collapsed="false">
      <c r="A21" s="27" t="s">
        <v>96</v>
      </c>
      <c r="B21" s="31" t="n">
        <f aca="false">B20/B18</f>
        <v>418</v>
      </c>
    </row>
    <row r="22" customFormat="false" ht="15" hidden="false" customHeight="true" outlineLevel="0" collapsed="false">
      <c r="A22" s="27" t="s">
        <v>97</v>
      </c>
      <c r="B22" s="31" t="n">
        <f aca="false">B21*12</f>
        <v>5016</v>
      </c>
    </row>
    <row r="23" customFormat="false" ht="15" hidden="false" customHeight="true" outlineLevel="0" collapsed="false">
      <c r="A23" s="27" t="s">
        <v>98</v>
      </c>
      <c r="B23" s="32" t="n">
        <f aca="false">B22/B19</f>
        <v>0.418</v>
      </c>
    </row>
    <row r="24" customFormat="false" ht="15" hidden="false" customHeight="true" outlineLevel="0" collapsed="false">
      <c r="A24" s="3" t="s">
        <v>99</v>
      </c>
    </row>
    <row r="26" customFormat="false" ht="17.25" hidden="false" customHeight="true" outlineLevel="0" collapsed="false">
      <c r="A26" s="2" t="s">
        <v>100</v>
      </c>
    </row>
    <row r="27" customFormat="false" ht="15" hidden="false" customHeight="true" outlineLevel="0" collapsed="false">
      <c r="A27" s="4" t="s">
        <v>101</v>
      </c>
      <c r="B27" s="4" t="s">
        <v>102</v>
      </c>
      <c r="C27" s="4" t="s">
        <v>103</v>
      </c>
    </row>
    <row r="28" customFormat="false" ht="15" hidden="false" customHeight="true" outlineLevel="0" collapsed="false">
      <c r="A28" s="27" t="s">
        <v>104</v>
      </c>
      <c r="B28" s="33" t="n">
        <v>250</v>
      </c>
      <c r="C28" s="34" t="n">
        <f aca="false">$C$14/B28</f>
        <v>418</v>
      </c>
    </row>
    <row r="29" customFormat="false" ht="15" hidden="false" customHeight="true" outlineLevel="0" collapsed="false">
      <c r="A29" s="27" t="s">
        <v>105</v>
      </c>
      <c r="B29" s="33" t="n">
        <v>300</v>
      </c>
      <c r="C29" s="34" t="n">
        <f aca="false">$C$14/B29</f>
        <v>348.333333333333</v>
      </c>
    </row>
    <row r="30" customFormat="false" ht="15" hidden="false" customHeight="true" outlineLevel="0" collapsed="false">
      <c r="A30" s="27" t="s">
        <v>106</v>
      </c>
      <c r="B30" s="33" t="n">
        <v>600</v>
      </c>
      <c r="C30" s="34" t="n">
        <f aca="false">$C$14/B30</f>
        <v>174.166666666667</v>
      </c>
    </row>
    <row r="31" customFormat="false" ht="15" hidden="false" customHeight="true" outlineLevel="0" collapsed="false">
      <c r="A31" s="3" t="s">
        <v>107</v>
      </c>
    </row>
    <row r="33" customFormat="false" ht="17.25" hidden="false" customHeight="true" outlineLevel="0" collapsed="false">
      <c r="A33" s="2" t="s">
        <v>108</v>
      </c>
    </row>
    <row r="34" customFormat="false" ht="15" hidden="false" customHeight="true" outlineLevel="0" collapsed="false">
      <c r="A34" s="4" t="s">
        <v>109</v>
      </c>
      <c r="B34" s="4" t="s">
        <v>110</v>
      </c>
      <c r="C34" s="4" t="s">
        <v>111</v>
      </c>
    </row>
    <row r="35" customFormat="false" ht="26.25" hidden="false" customHeight="true" outlineLevel="0" collapsed="false">
      <c r="A35" s="27" t="s">
        <v>22</v>
      </c>
      <c r="B35" s="34" t="n">
        <v>1000</v>
      </c>
      <c r="C35" s="35" t="s">
        <v>112</v>
      </c>
    </row>
    <row r="36" customFormat="false" ht="26.25" hidden="false" customHeight="true" outlineLevel="0" collapsed="false">
      <c r="A36" s="27" t="s">
        <v>15</v>
      </c>
      <c r="B36" s="36" t="n">
        <v>2000</v>
      </c>
      <c r="C36" s="35" t="s">
        <v>113</v>
      </c>
    </row>
    <row r="37" customFormat="false" ht="26.25" hidden="false" customHeight="true" outlineLevel="0" collapsed="false">
      <c r="A37" s="27" t="s">
        <v>11</v>
      </c>
      <c r="B37" s="36" t="n">
        <v>3000</v>
      </c>
      <c r="C37" s="35" t="s">
        <v>114</v>
      </c>
    </row>
    <row r="38" customFormat="false" ht="26.25" hidden="false" customHeight="true" outlineLevel="0" collapsed="false">
      <c r="A38" s="27" t="s">
        <v>115</v>
      </c>
      <c r="B38" s="34" t="n">
        <v>3000</v>
      </c>
      <c r="C38" s="35" t="s">
        <v>116</v>
      </c>
    </row>
    <row r="39" customFormat="false" ht="15" hidden="false" customHeight="true" outlineLevel="0" collapsed="false">
      <c r="A39" s="3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118</v>
      </c>
    </row>
    <row r="2" customFormat="false" ht="15" hidden="false" customHeight="true" outlineLevel="0" collapsed="false">
      <c r="A2" s="3" t="s">
        <v>119</v>
      </c>
    </row>
    <row r="4" customFormat="false" ht="15" hidden="false" customHeight="true" outlineLevel="0" collapsed="false">
      <c r="A4" s="4" t="s">
        <v>120</v>
      </c>
      <c r="B4" s="4" t="s">
        <v>121</v>
      </c>
      <c r="C4" s="4" t="s">
        <v>122</v>
      </c>
      <c r="D4" s="4" t="s">
        <v>123</v>
      </c>
    </row>
    <row r="5" customFormat="false" ht="26.25" hidden="false" customHeight="true" outlineLevel="0" collapsed="false">
      <c r="A5" s="33" t="s">
        <v>124</v>
      </c>
      <c r="B5" s="35" t="s">
        <v>125</v>
      </c>
      <c r="C5" s="33" t="s">
        <v>126</v>
      </c>
      <c r="D5" s="35" t="s">
        <v>127</v>
      </c>
    </row>
    <row r="6" customFormat="false" ht="26.25" hidden="false" customHeight="true" outlineLevel="0" collapsed="false">
      <c r="A6" s="33" t="s">
        <v>128</v>
      </c>
      <c r="B6" s="35" t="s">
        <v>129</v>
      </c>
      <c r="C6" s="33" t="s">
        <v>130</v>
      </c>
      <c r="D6" s="35" t="s">
        <v>131</v>
      </c>
    </row>
    <row r="7" customFormat="false" ht="26.25" hidden="false" customHeight="true" outlineLevel="0" collapsed="false">
      <c r="A7" s="33" t="s">
        <v>132</v>
      </c>
      <c r="B7" s="35" t="s">
        <v>133</v>
      </c>
      <c r="C7" s="33" t="s">
        <v>134</v>
      </c>
      <c r="D7" s="35" t="s">
        <v>135</v>
      </c>
    </row>
    <row r="9" customFormat="false" ht="15" hidden="false" customHeight="true" outlineLevel="0" collapsed="false">
      <c r="A9" s="26" t="s">
        <v>136</v>
      </c>
    </row>
    <row r="10" customFormat="false" ht="15" hidden="false" customHeight="true" outlineLevel="0" collapsed="false">
      <c r="A10" s="4" t="s">
        <v>137</v>
      </c>
      <c r="B10" s="4" t="s">
        <v>138</v>
      </c>
      <c r="C10" s="4" t="s">
        <v>139</v>
      </c>
    </row>
    <row r="11" customFormat="false" ht="26.25" hidden="false" customHeight="true" outlineLevel="0" collapsed="false">
      <c r="A11" s="35" t="s">
        <v>140</v>
      </c>
      <c r="B11" s="33" t="s">
        <v>141</v>
      </c>
      <c r="C11" s="33" t="s">
        <v>142</v>
      </c>
    </row>
    <row r="12" customFormat="false" ht="26.25" hidden="false" customHeight="true" outlineLevel="0" collapsed="false">
      <c r="A12" s="35" t="s">
        <v>143</v>
      </c>
      <c r="B12" s="33" t="s">
        <v>144</v>
      </c>
      <c r="C12" s="33" t="s">
        <v>145</v>
      </c>
    </row>
    <row r="13" customFormat="false" ht="26.25" hidden="false" customHeight="true" outlineLevel="0" collapsed="false">
      <c r="A13" s="35" t="s">
        <v>146</v>
      </c>
      <c r="B13" s="33" t="s">
        <v>147</v>
      </c>
      <c r="C13" s="33" t="s">
        <v>148</v>
      </c>
    </row>
    <row r="15" customFormat="false" ht="15" hidden="false" customHeight="true" outlineLevel="0" collapsed="false">
      <c r="A15" s="3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44"/>
  </cols>
  <sheetData>
    <row r="1" customFormat="false" ht="17.25" hidden="false" customHeight="true" outlineLevel="0" collapsed="false">
      <c r="A1" s="2" t="s">
        <v>150</v>
      </c>
    </row>
    <row r="2" customFormat="false" ht="15" hidden="false" customHeight="true" outlineLevel="0" collapsed="false">
      <c r="A2" s="3" t="s">
        <v>151</v>
      </c>
    </row>
    <row r="4" customFormat="false" ht="15" hidden="false" customHeight="true" outlineLevel="0" collapsed="false">
      <c r="A4" s="4" t="s">
        <v>152</v>
      </c>
      <c r="B4" s="4" t="s">
        <v>153</v>
      </c>
      <c r="C4" s="4" t="s">
        <v>154</v>
      </c>
      <c r="D4" s="4" t="s">
        <v>155</v>
      </c>
    </row>
    <row r="5" customFormat="false" ht="15" hidden="false" customHeight="true" outlineLevel="0" collapsed="false">
      <c r="A5" s="35" t="s">
        <v>156</v>
      </c>
      <c r="B5" s="37" t="n">
        <v>4</v>
      </c>
      <c r="C5" s="38" t="n">
        <f aca="false">B5/37</f>
        <v>0.108108108108108</v>
      </c>
      <c r="D5" s="35" t="s">
        <v>157</v>
      </c>
    </row>
    <row r="6" customFormat="false" ht="15" hidden="false" customHeight="true" outlineLevel="0" collapsed="false">
      <c r="A6" s="35" t="s">
        <v>158</v>
      </c>
      <c r="B6" s="37" t="n">
        <v>19</v>
      </c>
      <c r="C6" s="38" t="n">
        <f aca="false">B6/37</f>
        <v>0.513513513513514</v>
      </c>
      <c r="D6" s="35" t="s">
        <v>159</v>
      </c>
    </row>
    <row r="7" customFormat="false" ht="15" hidden="false" customHeight="true" outlineLevel="0" collapsed="false">
      <c r="A7" s="35" t="s">
        <v>160</v>
      </c>
      <c r="B7" s="37" t="n">
        <v>27</v>
      </c>
      <c r="C7" s="38" t="n">
        <f aca="false">B7/37</f>
        <v>0.72972972972973</v>
      </c>
      <c r="D7" s="35" t="s">
        <v>161</v>
      </c>
    </row>
    <row r="8" customFormat="false" ht="15" hidden="false" customHeight="true" outlineLevel="0" collapsed="false">
      <c r="A8" s="35" t="s">
        <v>162</v>
      </c>
      <c r="B8" s="37" t="n">
        <v>10</v>
      </c>
      <c r="C8" s="38" t="n">
        <f aca="false">B8/37</f>
        <v>0.27027027027027</v>
      </c>
      <c r="D8" s="35" t="s">
        <v>163</v>
      </c>
    </row>
    <row r="10" customFormat="false" ht="15" hidden="false" customHeight="true" outlineLevel="0" collapsed="false">
      <c r="A10" s="26" t="s">
        <v>164</v>
      </c>
    </row>
    <row r="11" customFormat="false" ht="15" hidden="false" customHeight="true" outlineLevel="0" collapsed="false">
      <c r="A11" s="4" t="s">
        <v>165</v>
      </c>
      <c r="B11" s="4" t="s">
        <v>166</v>
      </c>
      <c r="C11" s="4" t="s">
        <v>154</v>
      </c>
    </row>
    <row r="12" customFormat="false" ht="15" hidden="false" customHeight="true" outlineLevel="0" collapsed="false">
      <c r="A12" s="27" t="s">
        <v>167</v>
      </c>
      <c r="B12" s="33" t="n">
        <v>4</v>
      </c>
      <c r="C12" s="38" t="n">
        <f aca="false">B12/37</f>
        <v>0.108108108108108</v>
      </c>
    </row>
    <row r="13" customFormat="false" ht="15" hidden="false" customHeight="true" outlineLevel="0" collapsed="false">
      <c r="A13" s="27" t="s">
        <v>168</v>
      </c>
      <c r="B13" s="33" t="n">
        <v>6</v>
      </c>
      <c r="C13" s="38" t="n">
        <f aca="false">B13/37</f>
        <v>0.162162162162162</v>
      </c>
    </row>
    <row r="14" customFormat="false" ht="15" hidden="false" customHeight="true" outlineLevel="0" collapsed="false">
      <c r="A14" s="27" t="s">
        <v>169</v>
      </c>
      <c r="B14" s="33" t="n">
        <v>9</v>
      </c>
      <c r="C14" s="38" t="n">
        <f aca="false">B14/37</f>
        <v>0.243243243243243</v>
      </c>
    </row>
    <row r="15" customFormat="false" ht="15" hidden="false" customHeight="true" outlineLevel="0" collapsed="false">
      <c r="A15" s="27" t="s">
        <v>170</v>
      </c>
      <c r="B15" s="33" t="n">
        <v>6</v>
      </c>
      <c r="C15" s="38" t="n">
        <f aca="false">B15/37</f>
        <v>0.162162162162162</v>
      </c>
    </row>
    <row r="16" customFormat="false" ht="15" hidden="false" customHeight="true" outlineLevel="0" collapsed="false">
      <c r="A16" s="27" t="s">
        <v>171</v>
      </c>
      <c r="B16" s="33" t="n">
        <v>2</v>
      </c>
      <c r="C16" s="38" t="n">
        <f aca="false">B16/37</f>
        <v>0.0540540540540541</v>
      </c>
    </row>
    <row r="17" customFormat="false" ht="15" hidden="false" customHeight="true" outlineLevel="0" collapsed="false">
      <c r="A17" s="27" t="s">
        <v>172</v>
      </c>
      <c r="B17" s="33" t="n">
        <v>10</v>
      </c>
      <c r="C17" s="38" t="n">
        <f aca="false">B17/37</f>
        <v>0.27027027027027</v>
      </c>
    </row>
    <row r="19" customFormat="false" ht="15" hidden="false" customHeight="true" outlineLevel="0" collapsed="false">
      <c r="A19" s="3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2026-07-07T18:38:27Z</dcterms:created>
  <dc:creator>openpyxl</dc:creator>
  <dc:description/>
  <dc:language>en-US</dc:language>
  <cp:lastModifiedBy/>
  <dcterms:modified xsi:type="dcterms:W3CDTF">2026-07-07T19:40:42Z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